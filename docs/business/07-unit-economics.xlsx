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Assumptions" sheetId="1" state="visible" r:id="rId1"/>
    <sheet name="2 Retailer ROI" sheetId="2" state="visible" r:id="rId2"/>
    <sheet name="3 Unit economics" sheetId="3" state="visible" r:id="rId3"/>
    <sheet name="4 Three-year build" sheetId="4" state="visible" r:id="rId4"/>
    <sheet name="5 Sensitivity" sheetId="5" state="visible" r:id="rId5"/>
  </sheets>
  <definedNames/>
  <calcPr calcId="124519" fullCalcOnLoad="1"/>
</workbook>
</file>

<file path=xl/styles.xml><?xml version="1.0" encoding="utf-8"?>
<styleSheet xmlns="http://schemas.openxmlformats.org/spreadsheetml/2006/main">
  <numFmts count="5">
    <numFmt numFmtId="164" formatCode="₹#,##0"/>
    <numFmt numFmtId="165" formatCode="₹#,##0.00"/>
    <numFmt numFmtId="166" formatCode="0.0"/>
    <numFmt numFmtId="167" formatCode="0.0&quot;x&quot;"/>
    <numFmt numFmtId="168" formatCode="₹0.0000"/>
  </numFmts>
  <fonts count="9">
    <font>
      <name val="Calibri"/>
      <family val="2"/>
      <color theme="1"/>
      <sz val="11"/>
      <scheme val="minor"/>
    </font>
    <font>
      <b val="1"/>
      <color rgb="000F766E"/>
      <sz val="14"/>
    </font>
    <font>
      <i val="1"/>
      <color rgb="005B6B6A"/>
      <sz val="9"/>
    </font>
    <font>
      <b val="1"/>
      <color rgb="00FFFFFF"/>
      <sz val="11"/>
    </font>
    <font>
      <b val="1"/>
      <color rgb="000F766E"/>
    </font>
    <font>
      <color rgb="005B6B6A"/>
      <sz val="9"/>
    </font>
    <font>
      <color rgb="00B45309"/>
      <sz val="9"/>
    </font>
    <font>
      <b val="1"/>
    </font>
    <font>
      <b val="1"/>
      <color rgb="00B45309"/>
    </font>
  </fonts>
  <fills count="6">
    <fill>
      <patternFill/>
    </fill>
    <fill>
      <patternFill patternType="gray125"/>
    </fill>
    <fill>
      <patternFill patternType="solid">
        <fgColor rgb="000F766E"/>
      </patternFill>
    </fill>
    <fill>
      <patternFill patternType="solid">
        <fgColor rgb="00FFF4E5"/>
      </patternFill>
    </fill>
    <fill>
      <patternFill patternType="solid">
        <fgColor rgb="00FDF0F0"/>
      </patternFill>
    </fill>
    <fill>
      <patternFill patternType="solid">
        <fgColor rgb="00EEFAF6"/>
      </patternFill>
    </fill>
  </fills>
  <borders count="1">
    <border>
      <left/>
      <right/>
      <top/>
      <bottom/>
      <diagonal/>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4" fillId="0" borderId="0" pivotButton="0" quotePrefix="0" xfId="0"/>
    <xf numFmtId="0" fontId="0" fillId="3" borderId="0" pivotButton="0" quotePrefix="0" xfId="0"/>
    <xf numFmtId="0" fontId="5" fillId="0" borderId="0" applyAlignment="1" pivotButton="0" quotePrefix="0" xfId="0">
      <alignment vertical="top" wrapText="1"/>
    </xf>
    <xf numFmtId="0" fontId="0" fillId="4" borderId="0" pivotButton="0" quotePrefix="0" xfId="0"/>
    <xf numFmtId="0" fontId="6" fillId="0" borderId="0" applyAlignment="1" pivotButton="0" quotePrefix="0" xfId="0">
      <alignment vertical="top" wrapText="1"/>
    </xf>
    <xf numFmtId="0" fontId="7" fillId="0" borderId="0" pivotButton="0" quotePrefix="0" xfId="0"/>
    <xf numFmtId="0" fontId="0" fillId="5" borderId="0" pivotButton="0" quotePrefix="0" xfId="0"/>
    <xf numFmtId="0" fontId="5" fillId="0" borderId="0" applyAlignment="1" pivotButton="0" quotePrefix="0" xfId="0">
      <alignment wrapText="1"/>
    </xf>
    <xf numFmtId="164" fontId="0" fillId="5" borderId="0" pivotButton="0" quotePrefix="0" xfId="0"/>
    <xf numFmtId="164" fontId="7" fillId="5" borderId="0" pivotButton="0" quotePrefix="0" xfId="0"/>
    <xf numFmtId="0" fontId="8" fillId="0" borderId="0" pivotButton="0" quotePrefix="0" xfId="0"/>
    <xf numFmtId="0" fontId="0" fillId="0" borderId="0" applyAlignment="1" pivotButton="0" quotePrefix="0" xfId="0">
      <alignment vertical="top" wrapText="1"/>
    </xf>
    <xf numFmtId="3" fontId="0" fillId="5" borderId="0" pivotButton="0" quotePrefix="0" xfId="0"/>
    <xf numFmtId="165" fontId="0" fillId="5" borderId="0" pivotButton="0" quotePrefix="0" xfId="0"/>
    <xf numFmtId="165" fontId="7" fillId="5" borderId="0" pivotButton="0" quotePrefix="0" xfId="0"/>
    <xf numFmtId="9" fontId="7" fillId="5" borderId="0" pivotButton="0" quotePrefix="0" xfId="0"/>
    <xf numFmtId="166" fontId="0" fillId="5" borderId="0" pivotButton="0" quotePrefix="0" xfId="0"/>
    <xf numFmtId="9" fontId="0" fillId="5" borderId="0" pivotButton="0" quotePrefix="0" xfId="0"/>
    <xf numFmtId="167" fontId="7" fillId="5" borderId="0" pivotButton="0" quotePrefix="0" xfId="0"/>
    <xf numFmtId="3" fontId="0" fillId="3" borderId="0" pivotButton="0" quotePrefix="0" xfId="0"/>
    <xf numFmtId="164" fontId="0" fillId="3" borderId="0" pivotButton="0" quotePrefix="0" xfId="0"/>
    <xf numFmtId="168" fontId="0" fillId="4" borderId="0" pivotButton="0" quotePrefix="0" xfId="0"/>
    <xf numFmtId="0" fontId="6"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42" customWidth="1" min="1" max="1"/>
    <col width="14" customWidth="1" min="2" max="2"/>
    <col width="14" customWidth="1" min="3" max="3"/>
    <col width="62" customWidth="1" min="4" max="4"/>
  </cols>
  <sheetData>
    <row r="1">
      <c r="A1" s="1" t="inlineStr">
        <is>
          <t>Assumptions — every input lives here</t>
        </is>
      </c>
    </row>
    <row r="2">
      <c r="A2" s="2" t="inlineStr">
        <is>
          <t>Amber = change me. Red = unvalidated and material. Nothing downstream hard-codes a number.</t>
        </is>
      </c>
    </row>
    <row r="4" ht="28" customHeight="1">
      <c r="A4" s="3" t="inlineStr">
        <is>
          <t>Input</t>
        </is>
      </c>
      <c r="B4" s="3" t="inlineStr">
        <is>
          <t>Value</t>
        </is>
      </c>
      <c r="C4" s="3" t="inlineStr">
        <is>
          <t>Unit</t>
        </is>
      </c>
      <c r="D4" s="3" t="inlineStr">
        <is>
          <t>Source / confidence</t>
        </is>
      </c>
    </row>
    <row r="5">
      <c r="A5" s="4" t="inlineStr">
        <is>
          <t>— OBSERVED AT RAGAS COFFEE (design partner) —</t>
        </is>
      </c>
    </row>
    <row r="6">
      <c r="A6" t="inlineStr">
        <is>
          <t>Counter staff cost</t>
        </is>
      </c>
      <c r="B6" s="5" t="n">
        <v>15000</v>
      </c>
      <c r="C6" t="inlineStr">
        <is>
          <t>₹/month</t>
        </is>
      </c>
      <c r="D6" s="6" t="inlineStr">
        <is>
          <t>Founder, observed</t>
        </is>
      </c>
    </row>
    <row r="7">
      <c r="A7" t="inlineStr">
        <is>
          <t>WeP annual subscription / AMC</t>
        </is>
      </c>
      <c r="B7" s="5" t="n">
        <v>7000</v>
      </c>
      <c r="C7" t="inlineStr">
        <is>
          <t>₹/year</t>
        </is>
      </c>
      <c r="D7" s="6" t="inlineStr">
        <is>
          <t>Founder, observed — the real reference price</t>
        </is>
      </c>
    </row>
    <row r="8">
      <c r="A8" t="inlineStr">
        <is>
          <t>WeP capex already sunk</t>
        </is>
      </c>
      <c r="B8" s="7" t="n">
        <v>12000</v>
      </c>
      <c r="C8" t="inlineStr">
        <is>
          <t>₹</t>
        </is>
      </c>
      <c r="D8" s="8" t="inlineStr">
        <is>
          <t>Band ₹9,990–25,500; midpoint [VALIDATE exact model]</t>
        </is>
      </c>
    </row>
    <row r="9">
      <c r="A9" t="inlineStr">
        <is>
          <t>Bills observed</t>
        </is>
      </c>
      <c r="B9" s="5" t="n">
        <v>50</v>
      </c>
      <c r="C9" t="inlineStr">
        <is>
          <t>bills/week</t>
        </is>
      </c>
      <c r="D9" s="6" t="inlineStr">
        <is>
          <t>Founder, 1 week of use</t>
        </is>
      </c>
    </row>
    <row r="10">
      <c r="A10" t="inlineStr">
        <is>
          <t>Working days</t>
        </is>
      </c>
      <c r="B10" s="5" t="n">
        <v>26</v>
      </c>
      <c r="C10" t="inlineStr">
        <is>
          <t>days/month</t>
        </is>
      </c>
      <c r="D10" s="6" t="inlineStr">
        <is>
          <t>Convention</t>
        </is>
      </c>
    </row>
    <row r="11">
      <c r="A11" t="inlineStr">
        <is>
          <t>Counter hours</t>
        </is>
      </c>
      <c r="B11" s="7" t="n">
        <v>10</v>
      </c>
      <c r="C11" t="inlineStr">
        <is>
          <t>hours/day</t>
        </is>
      </c>
      <c r="D11" s="8" t="inlineStr">
        <is>
          <t>Convention [VALIDATE]</t>
        </is>
      </c>
    </row>
    <row r="12">
      <c r="A12" s="4" t="inlineStr"/>
    </row>
    <row r="13">
      <c r="A13" s="4" t="inlineStr">
        <is>
          <t>— VOLUME SCENARIOS (drives cost more than the rate does) —</t>
        </is>
      </c>
    </row>
    <row r="14">
      <c r="A14" t="inlineStr">
        <is>
          <t>Light shop — bills/month</t>
        </is>
      </c>
      <c r="B14" s="5" t="n">
        <v>215</v>
      </c>
      <c r="C14" t="inlineStr">
        <is>
          <t>bills</t>
        </is>
      </c>
      <c r="D14" s="6">
        <f>Ragas observed, 50/wk × 4.3</f>
        <v/>
      </c>
    </row>
    <row r="15">
      <c r="A15" t="inlineStr">
        <is>
          <t>Typical shop — bills/month</t>
        </is>
      </c>
      <c r="B15" s="7" t="n">
        <v>1500</v>
      </c>
      <c r="C15" t="inlineStr">
        <is>
          <t>bills</t>
        </is>
      </c>
      <c r="D15" s="8" t="inlineStr">
        <is>
          <t>[ASSUMPTION - VALIDATE] ~58/day</t>
        </is>
      </c>
    </row>
    <row r="16">
      <c r="A16" t="inlineStr">
        <is>
          <t>Busy kirana — bills/month</t>
        </is>
      </c>
      <c r="B16" s="7" t="n">
        <v>6000</v>
      </c>
      <c r="C16" t="inlineStr">
        <is>
          <t>bills</t>
        </is>
      </c>
      <c r="D16" s="8" t="inlineStr">
        <is>
          <t>[ASSUMPTION - VALIDATE] ~230/day</t>
        </is>
      </c>
    </row>
    <row r="17">
      <c r="A17" t="inlineStr">
        <is>
          <t>Utterances per bill</t>
        </is>
      </c>
      <c r="B17" s="7" t="n">
        <v>4</v>
      </c>
      <c r="C17" t="inlineStr">
        <is>
          <t>utterances</t>
        </is>
      </c>
      <c r="D17" s="8" t="inlineStr">
        <is>
          <t>[ASSUMPTION - VALIDATE] items + corrections + commands</t>
        </is>
      </c>
    </row>
    <row r="18">
      <c r="A18" s="4" t="inlineStr"/>
    </row>
    <row r="19">
      <c r="A19" s="4" t="inlineStr">
        <is>
          <t>— COST DRIVERS —</t>
        </is>
      </c>
    </row>
    <row r="20">
      <c r="A20" t="inlineStr">
        <is>
          <t>Cloud ASR rate</t>
        </is>
      </c>
      <c r="B20" s="7" t="n">
        <v>0.12</v>
      </c>
      <c r="C20" t="inlineStr">
        <is>
          <t>₹/utterance</t>
        </is>
      </c>
      <c r="D20" s="8" t="inlineStr">
        <is>
          <t>[ASSUMPTION - VALIDATE] Sarvam rate unknown. THE most sensitive input.</t>
        </is>
      </c>
    </row>
    <row r="21">
      <c r="A21" t="inlineStr">
        <is>
          <t>On-device ASR rate (post-port)</t>
        </is>
      </c>
      <c r="B21" s="5" t="n">
        <v>0</v>
      </c>
      <c r="C21" t="inlineStr">
        <is>
          <t>₹/utterance</t>
        </is>
      </c>
      <c r="D21" s="6" t="inlineStr">
        <is>
          <t>Target state — the point of the Android build</t>
        </is>
      </c>
    </row>
    <row r="22">
      <c r="A22" t="inlineStr">
        <is>
          <t>Cloud/platform cost per shop</t>
        </is>
      </c>
      <c r="B22" s="7" t="n">
        <v>12</v>
      </c>
      <c r="C22" t="inlineStr">
        <is>
          <t>₹/month</t>
        </is>
      </c>
      <c r="D22" s="8" t="inlineStr">
        <is>
          <t>[ASSUMPTION - VALIDATE] Vercel + Supabase at scale</t>
        </is>
      </c>
    </row>
    <row r="23">
      <c r="A23" t="inlineStr">
        <is>
          <t>Support cost per shop</t>
        </is>
      </c>
      <c r="B23" s="7" t="n">
        <v>25</v>
      </c>
      <c r="C23" t="inlineStr">
        <is>
          <t>₹/month</t>
        </is>
      </c>
      <c r="D23" s="8" t="inlineStr">
        <is>
          <t>[ASSUMPTION - VALIDATE] must stay near-zero-touch</t>
        </is>
      </c>
    </row>
    <row r="24">
      <c r="A24" t="inlineStr">
        <is>
          <t>Payment gateway share</t>
        </is>
      </c>
      <c r="B24" s="5" t="n">
        <v>0</v>
      </c>
      <c r="C24" t="inlineStr">
        <is>
          <t>₹</t>
        </is>
      </c>
      <c r="D24" s="6" t="inlineStr">
        <is>
          <t>We never touch funds — deliberate</t>
        </is>
      </c>
    </row>
    <row r="25">
      <c r="A25" s="4" t="inlineStr"/>
    </row>
    <row r="26">
      <c r="A26" s="4" t="inlineStr">
        <is>
          <t>— PRICING (solve for, not fixed) —</t>
        </is>
      </c>
    </row>
    <row r="27">
      <c r="A27" t="inlineStr">
        <is>
          <t>Tier 1 Single — price</t>
        </is>
      </c>
      <c r="B27" s="5" t="n">
        <v>399</v>
      </c>
      <c r="C27" t="inlineStr">
        <is>
          <t>₹/month</t>
        </is>
      </c>
      <c r="D27" s="6" t="inlineStr">
        <is>
          <t>Anchored BELOW the ₹583/mo Ragas already pays WeP</t>
        </is>
      </c>
    </row>
    <row r="28">
      <c r="A28" t="inlineStr">
        <is>
          <t>Tier 2 Growing — price</t>
        </is>
      </c>
      <c r="B28" s="5" t="n">
        <v>1999</v>
      </c>
      <c r="C28" t="inlineStr">
        <is>
          <t>₹/month</t>
        </is>
      </c>
      <c r="D28" s="6" t="inlineStr">
        <is>
          <t>Undercuts Petpooja's ₹3,000–12,000 band</t>
        </is>
      </c>
    </row>
    <row r="29">
      <c r="A29" t="inlineStr">
        <is>
          <t>Tier 3 Chain — price</t>
        </is>
      </c>
      <c r="B29" s="7" t="n">
        <v>7500</v>
      </c>
      <c r="C29" t="inlineStr">
        <is>
          <t>₹/month</t>
        </is>
      </c>
      <c r="D29" s="8" t="inlineStr">
        <is>
          <t>[ASSUMPTION - VALIDATE] no Tier 3 product exists yet</t>
        </is>
      </c>
    </row>
    <row r="30">
      <c r="A30" t="inlineStr">
        <is>
          <t>Shop kit (printer etc.) — sold at cost</t>
        </is>
      </c>
      <c r="B30" s="5" t="n">
        <v>4000</v>
      </c>
      <c r="C30" t="inlineStr">
        <is>
          <t>₹ one-off</t>
        </is>
      </c>
      <c r="D30" s="6" t="inlineStr">
        <is>
          <t>Adoption lever, zero margin by design</t>
        </is>
      </c>
    </row>
    <row r="31">
      <c r="A31" s="4" t="inlineStr"/>
    </row>
    <row r="32">
      <c r="A32" s="4" t="inlineStr">
        <is>
          <t>— GO TO MARKET —</t>
        </is>
      </c>
    </row>
    <row r="33">
      <c r="A33" t="inlineStr">
        <is>
          <t>CAC — founder / referral</t>
        </is>
      </c>
      <c r="B33" s="7" t="n">
        <v>400</v>
      </c>
      <c r="C33" t="inlineStr">
        <is>
          <t>₹</t>
        </is>
      </c>
      <c r="D33" s="8" t="inlineStr">
        <is>
          <t>[ASSUMPTION - VALIDATE] time cost only</t>
        </is>
      </c>
    </row>
    <row r="34">
      <c r="A34" t="inlineStr">
        <is>
          <t>CAC — printer dealer / reseller</t>
        </is>
      </c>
      <c r="B34" s="7" t="n">
        <v>1200</v>
      </c>
      <c r="C34" t="inlineStr">
        <is>
          <t>₹</t>
        </is>
      </c>
      <c r="D34" s="8" t="inlineStr">
        <is>
          <t>[ASSUMPTION - VALIDATE] one-off commission</t>
        </is>
      </c>
    </row>
    <row r="35">
      <c r="A35" t="inlineStr">
        <is>
          <t>CAC — FMCG distributor channel</t>
        </is>
      </c>
      <c r="B35" s="7" t="n">
        <v>900</v>
      </c>
      <c r="C35" t="inlineStr">
        <is>
          <t>₹</t>
        </is>
      </c>
      <c r="D35" s="8" t="inlineStr">
        <is>
          <t>[ASSUMPTION - VALIDATE] unproven channel</t>
        </is>
      </c>
    </row>
    <row r="36">
      <c r="A36" t="inlineStr">
        <is>
          <t>Monthly churn — Tier 1</t>
        </is>
      </c>
      <c r="B36" s="7" t="n">
        <v>0.04</v>
      </c>
      <c r="C36" t="inlineStr">
        <is>
          <t>fraction</t>
        </is>
      </c>
      <c r="D36" s="8" t="inlineStr">
        <is>
          <t>[ASSUMPTION - VALIDATE] 4%/mo = ~25mo life. SME SaaS is worse than this.</t>
        </is>
      </c>
    </row>
    <row r="37">
      <c r="A37" t="inlineStr">
        <is>
          <t>Monthly churn — Tier 2</t>
        </is>
      </c>
      <c r="B37" s="7" t="n">
        <v>0.02</v>
      </c>
      <c r="C37" t="inlineStr">
        <is>
          <t>fraction</t>
        </is>
      </c>
      <c r="D37" s="8" t="inlineStr">
        <is>
          <t>[ASSUMPTION - VALIDATE]</t>
        </is>
      </c>
    </row>
    <row r="38">
      <c r="A38" t="inlineStr">
        <is>
          <t>Monthly churn — Tier 3</t>
        </is>
      </c>
      <c r="B38" s="7" t="n">
        <v>0.01</v>
      </c>
      <c r="C38" t="inlineStr">
        <is>
          <t>fraction</t>
        </is>
      </c>
      <c r="D38" s="8" t="inlineStr">
        <is>
          <t>[ASSUMPTION - VALIDATE]</t>
        </is>
      </c>
    </row>
    <row r="39">
      <c r="A39" t="inlineStr">
        <is>
          <t>Time saved per bill vs typing</t>
        </is>
      </c>
      <c r="B39" s="7" t="n">
        <v>20</v>
      </c>
      <c r="C39" t="inlineStr">
        <is>
          <t>seconds</t>
        </is>
      </c>
      <c r="D39" s="8" t="inlineStr">
        <is>
          <t>[ASSUMPTION - VALIDATE] NOT measured. Instrument this next.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40" customWidth="1" min="1" max="1"/>
    <col width="16" customWidth="1" min="2" max="2"/>
    <col width="16" customWidth="1" min="3" max="3"/>
    <col width="16" customWidth="1" min="4" max="4"/>
    <col width="52" customWidth="1" min="5" max="5"/>
  </cols>
  <sheetData>
    <row r="1">
      <c r="A1" s="1" t="inlineStr">
        <is>
          <t>What the shop gets back — by volume, not by tier</t>
        </is>
      </c>
    </row>
    <row r="2">
      <c r="A2" s="2" t="inlineStr">
        <is>
          <t>The finding that matters: at low volume the value is NOT time saved. It is the AMC, the capex and knowing your own numbers.</t>
        </is>
      </c>
    </row>
    <row r="4" ht="28" customHeight="1">
      <c r="A4" s="3" t="inlineStr">
        <is>
          <t>Line</t>
        </is>
      </c>
      <c r="B4" s="3" t="inlineStr">
        <is>
          <t>Light (Ragas)</t>
        </is>
      </c>
      <c r="C4" s="3" t="inlineStr">
        <is>
          <t>Typical</t>
        </is>
      </c>
      <c r="D4" s="3" t="inlineStr">
        <is>
          <t>Busy kirana</t>
        </is>
      </c>
      <c r="E4" s="3" t="inlineStr">
        <is>
          <t>Note</t>
        </is>
      </c>
    </row>
    <row r="5">
      <c r="A5" s="9" t="inlineStr">
        <is>
          <t>Bills per month</t>
        </is>
      </c>
      <c r="B5" s="10">
        <f>'1 Assumptions'!$B$14</f>
        <v/>
      </c>
      <c r="C5" s="10">
        <f>'1 Assumptions'!$B$15</f>
        <v/>
      </c>
      <c r="D5" s="10">
        <f>'1 Assumptions'!$B$16</f>
        <v/>
      </c>
    </row>
    <row r="6">
      <c r="A6" t="inlineStr">
        <is>
          <t>Staff cost per second</t>
        </is>
      </c>
      <c r="B6" s="10">
        <f>'1 Assumptions'!$B$6/('1 Assumptions'!$B$10*'1 Assumptions'!$B$11*3600)</f>
        <v/>
      </c>
      <c r="C6" s="10">
        <f>'1 Assumptions'!$B$6/('1 Assumptions'!$B$10*'1 Assumptions'!$B$11*3600)</f>
        <v/>
      </c>
      <c r="D6" s="10">
        <f>'1 Assumptions'!$B$6/('1 Assumptions'!$B$10*'1 Assumptions'!$B$11*3600)</f>
        <v/>
      </c>
      <c r="E6" s="11" t="inlineStr">
        <is>
          <t>₹15,000 ÷ working seconds</t>
        </is>
      </c>
    </row>
    <row r="7">
      <c r="A7" t="inlineStr">
        <is>
          <t>Time saved (seconds/month)</t>
        </is>
      </c>
      <c r="B7" s="10">
        <f>'1 Assumptions'!$B$14*'1 Assumptions'!$B$42</f>
        <v/>
      </c>
      <c r="C7" s="10">
        <f>'1 Assumptions'!$B$15*'1 Assumptions'!$B$42</f>
        <v/>
      </c>
      <c r="D7" s="10">
        <f>'1 Assumptions'!$B$16*'1 Assumptions'!$B$42</f>
        <v/>
      </c>
      <c r="E7" s="11" t="inlineStr">
        <is>
          <t>bills × seconds saved [VALIDATE]</t>
        </is>
      </c>
    </row>
    <row r="8">
      <c r="A8" t="inlineStr">
        <is>
          <t>Labour value released</t>
        </is>
      </c>
      <c r="B8" s="12">
        <f>'1 Assumptions'!$B$14*'1 Assumptions'!$B$42*'1 Assumptions'!$B$6/('1 Assumptions'!$B$10*'1 Assumptions'!$B$11*3600)</f>
        <v/>
      </c>
      <c r="C8" s="12">
        <f>'1 Assumptions'!$B$15*'1 Assumptions'!$B$42*'1 Assumptions'!$B$6/('1 Assumptions'!$B$10*'1 Assumptions'!$B$11*3600)</f>
        <v/>
      </c>
      <c r="D8" s="12">
        <f>'1 Assumptions'!$B$16*'1 Assumptions'!$B$42*'1 Assumptions'!$B$6/('1 Assumptions'!$B$10*'1 Assumptions'!$B$11*3600)</f>
        <v/>
      </c>
      <c r="E8" s="11" t="inlineStr">
        <is>
          <t>Only meaningful at volume — see note below</t>
        </is>
      </c>
    </row>
    <row r="9">
      <c r="A9" t="inlineStr">
        <is>
          <t>AMC avoided</t>
        </is>
      </c>
      <c r="B9" s="12">
        <f>'1 Assumptions'!$B$7/12</f>
        <v/>
      </c>
      <c r="C9" s="12">
        <f>'1 Assumptions'!$B$7/12</f>
        <v/>
      </c>
      <c r="D9" s="12">
        <f>'1 Assumptions'!$B$7/12</f>
        <v/>
      </c>
      <c r="E9" s="11" t="inlineStr">
        <is>
          <t>₹7,000/yr Ragas pays WeP today</t>
        </is>
      </c>
    </row>
    <row r="10">
      <c r="A10" t="inlineStr">
        <is>
          <t>Capex avoided (5-yr amortised)</t>
        </is>
      </c>
      <c r="B10" s="12">
        <f>'1 Assumptions'!$B$8/60</f>
        <v/>
      </c>
      <c r="C10" s="12">
        <f>'1 Assumptions'!$B$8/60</f>
        <v/>
      </c>
      <c r="D10" s="12">
        <f>'1 Assumptions'!$B$8/60</f>
        <v/>
      </c>
      <c r="E10" s="11" t="inlineStr">
        <is>
          <t>Applies to the NEXT machine, not the sunk one</t>
        </is>
      </c>
    </row>
    <row r="11">
      <c r="A11" s="9" t="inlineStr">
        <is>
          <t>Gross monthly benefit</t>
        </is>
      </c>
      <c r="B11" s="13">
        <f>'1 Assumptions'!$B$14*'1 Assumptions'!$B$42*'1 Assumptions'!$B$6/('1 Assumptions'!$B$10*'1 Assumptions'!$B$11*3600)+'1 Assumptions'!$B$7/12+'1 Assumptions'!$B$8/60</f>
        <v/>
      </c>
      <c r="C11" s="13">
        <f>'1 Assumptions'!$B$15*'1 Assumptions'!$B$42*'1 Assumptions'!$B$6/('1 Assumptions'!$B$10*'1 Assumptions'!$B$11*3600)+'1 Assumptions'!$B$7/12+'1 Assumptions'!$B$8/60</f>
        <v/>
      </c>
      <c r="D11" s="13">
        <f>'1 Assumptions'!$B$16*'1 Assumptions'!$B$42*'1 Assumptions'!$B$6/('1 Assumptions'!$B$10*'1 Assumptions'!$B$11*3600)+'1 Assumptions'!$B$7/12+'1 Assumptions'!$B$8/60</f>
        <v/>
      </c>
      <c r="E11" s="11" t="inlineStr"/>
    </row>
    <row r="12">
      <c r="A12" t="inlineStr">
        <is>
          <t>Less: our Tier 1 subscription</t>
        </is>
      </c>
      <c r="B12" s="12">
        <f>-'1 Assumptions'!$B$29</f>
        <v/>
      </c>
      <c r="C12" s="12">
        <f>-'1 Assumptions'!$B$29</f>
        <v/>
      </c>
      <c r="D12" s="12">
        <f>-'1 Assumptions'!$B$29</f>
        <v/>
      </c>
      <c r="E12" s="11" t="inlineStr"/>
    </row>
    <row r="13">
      <c r="A13" s="9" t="inlineStr">
        <is>
          <t>NET monthly benefit</t>
        </is>
      </c>
      <c r="B13" s="13">
        <f>'1 Assumptions'!$B$14*'1 Assumptions'!$B$42*'1 Assumptions'!$B$6/('1 Assumptions'!$B$10*'1 Assumptions'!$B$11*3600)+'1 Assumptions'!$B$7/12+'1 Assumptions'!$B$8/60-'1 Assumptions'!$B$29</f>
        <v/>
      </c>
      <c r="C13" s="13">
        <f>'1 Assumptions'!$B$15*'1 Assumptions'!$B$42*'1 Assumptions'!$B$6/('1 Assumptions'!$B$10*'1 Assumptions'!$B$11*3600)+'1 Assumptions'!$B$7/12+'1 Assumptions'!$B$8/60-'1 Assumptions'!$B$29</f>
        <v/>
      </c>
      <c r="D13" s="13">
        <f>'1 Assumptions'!$B$16*'1 Assumptions'!$B$42*'1 Assumptions'!$B$6/('1 Assumptions'!$B$10*'1 Assumptions'!$B$11*3600)+'1 Assumptions'!$B$7/12+'1 Assumptions'!$B$8/60-'1 Assumptions'!$B$29</f>
        <v/>
      </c>
      <c r="E13" s="11" t="inlineStr"/>
    </row>
    <row r="14">
      <c r="A14" t="inlineStr">
        <is>
          <t>Payback on the ₹4,000 kit (months)</t>
        </is>
      </c>
      <c r="B14" s="10">
        <f>IF(('1 Assumptions'!$B$14*'1 Assumptions'!$B$42*'1 Assumptions'!$B$6/('1 Assumptions'!$B$10*'1 Assumptions'!$B$11*3600)+'1 Assumptions'!$B$7/12+'1 Assumptions'!$B$8/60-'1 Assumptions'!$B$29)&gt;0,'1 Assumptions'!$B$32/('1 Assumptions'!$B$14*'1 Assumptions'!$B$42*'1 Assumptions'!$B$6/('1 Assumptions'!$B$10*'1 Assumptions'!$B$11*3600)+'1 Assumptions'!$B$7/12+'1 Assumptions'!$B$8/60-'1 Assumptions'!$B$29),"never")</f>
        <v/>
      </c>
      <c r="C14" s="10">
        <f>IF(('1 Assumptions'!$B$15*'1 Assumptions'!$B$42*'1 Assumptions'!$B$6/('1 Assumptions'!$B$10*'1 Assumptions'!$B$11*3600)+'1 Assumptions'!$B$7/12+'1 Assumptions'!$B$8/60-'1 Assumptions'!$B$29)&gt;0,'1 Assumptions'!$B$32/('1 Assumptions'!$B$15*'1 Assumptions'!$B$42*'1 Assumptions'!$B$6/('1 Assumptions'!$B$10*'1 Assumptions'!$B$11*3600)+'1 Assumptions'!$B$7/12+'1 Assumptions'!$B$8/60-'1 Assumptions'!$B$29),"never")</f>
        <v/>
      </c>
      <c r="D14" s="10">
        <f>IF(('1 Assumptions'!$B$16*'1 Assumptions'!$B$42*'1 Assumptions'!$B$6/('1 Assumptions'!$B$10*'1 Assumptions'!$B$11*3600)+'1 Assumptions'!$B$7/12+'1 Assumptions'!$B$8/60-'1 Assumptions'!$B$29)&gt;0,'1 Assumptions'!$B$32/('1 Assumptions'!$B$16*'1 Assumptions'!$B$42*'1 Assumptions'!$B$6/('1 Assumptions'!$B$10*'1 Assumptions'!$B$11*3600)+'1 Assumptions'!$B$7/12+'1 Assumptions'!$B$8/60-'1 Assumptions'!$B$29),"never")</f>
        <v/>
      </c>
      <c r="E14" s="11" t="inlineStr">
        <is>
          <t>Only hardware is at risk — no lock-in</t>
        </is>
      </c>
    </row>
    <row r="16">
      <c r="A16" s="14" t="inlineStr">
        <is>
          <t>THE HONEST READ</t>
        </is>
      </c>
    </row>
    <row r="17">
      <c r="A17" s="15" t="inlineStr">
        <is>
          <t>At Ragas volumes the labour saving is small — a low-volume café does not buy this to save time. It buys it to stop paying the AMC, to avoid the next machine, and because the owner does not currently know his own margins. That is a DIFFERENT sales pitch from the one the deck would naturally make, and it is the true one for Tier 1. Labour savings only dominate at kirana volume.</t>
        </is>
      </c>
    </row>
    <row r="18"/>
    <row r="19"/>
    <row r="20"/>
  </sheetData>
  <mergeCells count="1">
    <mergeCell ref="A17:E2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4" customWidth="1" min="1" max="1"/>
    <col width="16" customWidth="1" min="2" max="2"/>
    <col width="16" customWidth="1" min="3" max="3"/>
    <col width="16" customWidth="1" min="4" max="4"/>
    <col width="16" customWidth="1" min="5" max="5"/>
    <col width="46" customWidth="1" min="6" max="6"/>
  </cols>
  <sheetData>
    <row r="1">
      <c r="A1" s="1" t="inlineStr">
        <is>
          <t>Our side — per shop, per month</t>
        </is>
      </c>
    </row>
    <row r="2">
      <c r="A2" s="2" t="inlineStr">
        <is>
          <t>Cloud ASR vs on-device shown side by side. The gap between them is the business case for the Android build.</t>
        </is>
      </c>
    </row>
    <row r="4" ht="28" customHeight="1">
      <c r="A4" s="3" t="inlineStr">
        <is>
          <t>Metric</t>
        </is>
      </c>
      <c r="B4" s="3" t="inlineStr">
        <is>
          <t>T1 cloud ASR</t>
        </is>
      </c>
      <c r="C4" s="3" t="inlineStr">
        <is>
          <t>T1 on-device</t>
        </is>
      </c>
      <c r="D4" s="3" t="inlineStr">
        <is>
          <t>T2 Growing</t>
        </is>
      </c>
      <c r="E4" s="3" t="inlineStr">
        <is>
          <t>T3 Chain</t>
        </is>
      </c>
      <c r="F4" s="3" t="inlineStr">
        <is>
          <t>Note</t>
        </is>
      </c>
    </row>
    <row r="5">
      <c r="A5" t="inlineStr">
        <is>
          <t>Utterances / month</t>
        </is>
      </c>
      <c r="B5" s="16">
        <f>'1 Assumptions'!$B$15*'1 Assumptions'!$B$17</f>
        <v/>
      </c>
      <c r="C5" s="16">
        <f>'1 Assumptions'!$B$15*'1 Assumptions'!$B$17</f>
        <v/>
      </c>
      <c r="D5" s="16">
        <f>'1 Assumptions'!$B$15*'1 Assumptions'!$B$17*3</f>
        <v/>
      </c>
      <c r="E5" s="16">
        <f>'1 Assumptions'!$B$16*'1 Assumptions'!$B$17*8</f>
        <v/>
      </c>
      <c r="F5" s="11" t="inlineStr">
        <is>
          <t>Volume, not outlet count, drives cost</t>
        </is>
      </c>
    </row>
    <row r="6">
      <c r="A6" t="inlineStr">
        <is>
          <t>ARPU</t>
        </is>
      </c>
      <c r="B6" s="17">
        <f>'1 Assumptions'!$B$29</f>
        <v/>
      </c>
      <c r="C6" s="17">
        <f>'1 Assumptions'!$B$29</f>
        <v/>
      </c>
      <c r="D6" s="17">
        <f>'1 Assumptions'!$B$30</f>
        <v/>
      </c>
      <c r="E6" s="17">
        <f>'1 Assumptions'!$B$31</f>
        <v/>
      </c>
      <c r="F6" s="11" t="inlineStr">
        <is>
          <t>Tier 1 sits below the ₹583 Ragas already pays</t>
        </is>
      </c>
    </row>
    <row r="7">
      <c r="A7" t="inlineStr">
        <is>
          <t xml:space="preserve">  ASR cost</t>
        </is>
      </c>
      <c r="B7" s="17">
        <f>-'1 Assumptions'!$B$15*'1 Assumptions'!$B$17*'1 Assumptions'!$B$21</f>
        <v/>
      </c>
      <c r="C7" s="17">
        <f>-'1 Assumptions'!$B$15*'1 Assumptions'!$B$17*'1 Assumptions'!$B$22</f>
        <v/>
      </c>
      <c r="D7" s="17">
        <f>-'1 Assumptions'!$B$15*'1 Assumptions'!$B$17*3*'1 Assumptions'!$B$22</f>
        <v/>
      </c>
      <c r="E7" s="17">
        <f>-'1 Assumptions'!$B$16*'1 Assumptions'!$B$17*8*'1 Assumptions'!$B$22</f>
        <v/>
      </c>
      <c r="F7" s="11" t="inlineStr">
        <is>
          <t>T2/T3 assume the port has shipped</t>
        </is>
      </c>
    </row>
    <row r="8">
      <c r="A8" t="inlineStr">
        <is>
          <t xml:space="preserve">  Platform</t>
        </is>
      </c>
      <c r="B8" s="17">
        <f>-'1 Assumptions'!$B$23</f>
        <v/>
      </c>
      <c r="C8" s="17">
        <f>-'1 Assumptions'!$B$23</f>
        <v/>
      </c>
      <c r="D8" s="17">
        <f>-'1 Assumptions'!$B$23*3</f>
        <v/>
      </c>
      <c r="E8" s="17">
        <f>-'1 Assumptions'!$B$23*8</f>
        <v/>
      </c>
      <c r="F8" s="11" t="inlineStr"/>
    </row>
    <row r="9">
      <c r="A9" t="inlineStr">
        <is>
          <t xml:space="preserve">  Support</t>
        </is>
      </c>
      <c r="B9" s="17">
        <f>-'1 Assumptions'!$B$24</f>
        <v/>
      </c>
      <c r="C9" s="17">
        <f>-'1 Assumptions'!$B$24</f>
        <v/>
      </c>
      <c r="D9" s="17">
        <f>-'1 Assumptions'!$B$24*2</f>
        <v/>
      </c>
      <c r="E9" s="17">
        <f>-'1 Assumptions'!$B$24*4</f>
        <v/>
      </c>
      <c r="F9" s="11" t="inlineStr">
        <is>
          <t>Higher tiers get humans</t>
        </is>
      </c>
    </row>
    <row r="10">
      <c r="A10" s="9" t="inlineStr">
        <is>
          <t>Gross profit</t>
        </is>
      </c>
      <c r="B10" s="18">
        <f>'1 Assumptions'!$B$29-'1 Assumptions'!$B$15*'1 Assumptions'!$B$17*'1 Assumptions'!$B$21-'1 Assumptions'!$B$23-'1 Assumptions'!$B$24</f>
        <v/>
      </c>
      <c r="C10" s="18">
        <f>'1 Assumptions'!$B$29-'1 Assumptions'!$B$15*'1 Assumptions'!$B$17*'1 Assumptions'!$B$22-'1 Assumptions'!$B$23-'1 Assumptions'!$B$24</f>
        <v/>
      </c>
      <c r="D10" s="18">
        <f>'1 Assumptions'!$B$30-'1 Assumptions'!$B$15*'1 Assumptions'!$B$17*3*'1 Assumptions'!$B$22-'1 Assumptions'!$B$23*3-'1 Assumptions'!$B$24*2</f>
        <v/>
      </c>
      <c r="E10" s="18">
        <f>'1 Assumptions'!$B$31-'1 Assumptions'!$B$16*'1 Assumptions'!$B$17*8*'1 Assumptions'!$B$22-'1 Assumptions'!$B$23*8-'1 Assumptions'!$B$24*4</f>
        <v/>
      </c>
      <c r="F10" s="11" t="inlineStr"/>
    </row>
    <row r="11">
      <c r="A11" s="9" t="inlineStr">
        <is>
          <t>Gross margin %</t>
        </is>
      </c>
      <c r="B11" s="19">
        <f>B10/B6</f>
        <v/>
      </c>
      <c r="C11" s="19">
        <f>C10/C6</f>
        <v/>
      </c>
      <c r="D11" s="19">
        <f>D10/D6</f>
        <v/>
      </c>
      <c r="E11" s="19">
        <f>E10/E6</f>
        <v/>
      </c>
      <c r="F11" s="11" t="inlineStr"/>
    </row>
    <row r="12">
      <c r="A12" t="inlineStr">
        <is>
          <t>CAC (blended)</t>
        </is>
      </c>
      <c r="B12" s="17">
        <f>('1 Assumptions'!$B$36+'1 Assumptions'!$B$37)/2</f>
        <v/>
      </c>
      <c r="C12" s="17">
        <f>('1 Assumptions'!$B$36+'1 Assumptions'!$B$37)/2</f>
        <v/>
      </c>
      <c r="D12" s="17">
        <f>'1 Assumptions'!$B$37</f>
        <v/>
      </c>
      <c r="E12" s="17">
        <f>'1 Assumptions'!$B$37*3</f>
        <v/>
      </c>
      <c r="F12" s="11" t="inlineStr">
        <is>
          <t>Tier 1 must be reseller-led; founder-led does not scale</t>
        </is>
      </c>
    </row>
    <row r="13">
      <c r="A13" t="inlineStr">
        <is>
          <t>CAC payback (months)</t>
        </is>
      </c>
      <c r="B13" s="20">
        <f>IF(B10&gt;0,B12/B10,"never")</f>
        <v/>
      </c>
      <c r="C13" s="20">
        <f>IF(C10&gt;0,C12/C10,"never")</f>
        <v/>
      </c>
      <c r="D13" s="20">
        <f>IF(D10&gt;0,D12/D10,"never")</f>
        <v/>
      </c>
      <c r="E13" s="20">
        <f>IF(E10&gt;0,E12/E10,"never")</f>
        <v/>
      </c>
      <c r="F13" s="11" t="inlineStr"/>
    </row>
    <row r="14">
      <c r="A14" t="inlineStr">
        <is>
          <t>Monthly churn</t>
        </is>
      </c>
      <c r="B14" s="21">
        <f>'1 Assumptions'!$B$39</f>
        <v/>
      </c>
      <c r="C14" s="21">
        <f>'1 Assumptions'!$B$39</f>
        <v/>
      </c>
      <c r="D14" s="21">
        <f>'1 Assumptions'!$B$40</f>
        <v/>
      </c>
      <c r="E14" s="21">
        <f>'1 Assumptions'!$B$41</f>
        <v/>
      </c>
      <c r="F14" s="11" t="inlineStr"/>
    </row>
    <row r="15">
      <c r="A15" t="inlineStr">
        <is>
          <t>Expected life (months)</t>
        </is>
      </c>
      <c r="B15" s="20">
        <f>1/'1 Assumptions'!$B$39</f>
        <v/>
      </c>
      <c r="C15" s="20">
        <f>1/'1 Assumptions'!$B$39</f>
        <v/>
      </c>
      <c r="D15" s="20">
        <f>1/'1 Assumptions'!$B$40</f>
        <v/>
      </c>
      <c r="E15" s="20">
        <f>1/'1 Assumptions'!$B$41</f>
        <v/>
      </c>
      <c r="F15" s="11" t="inlineStr"/>
    </row>
    <row r="16">
      <c r="A16" s="9" t="inlineStr">
        <is>
          <t>LTV (gross profit basis)</t>
        </is>
      </c>
      <c r="B16" s="18">
        <f>B10/'1 Assumptions'!$B$39</f>
        <v/>
      </c>
      <c r="C16" s="18">
        <f>C10/'1 Assumptions'!$B$39</f>
        <v/>
      </c>
      <c r="D16" s="18">
        <f>D10/'1 Assumptions'!$B$40</f>
        <v/>
      </c>
      <c r="E16" s="18">
        <f>E10/'1 Assumptions'!$B$41</f>
        <v/>
      </c>
      <c r="F16" s="11" t="inlineStr"/>
    </row>
    <row r="17">
      <c r="A17" s="9" t="inlineStr">
        <is>
          <t>LTV : CAC</t>
        </is>
      </c>
      <c r="B17" s="22">
        <f>IF(B12&gt;0,B16/B12,0)</f>
        <v/>
      </c>
      <c r="C17" s="22">
        <f>IF(C12&gt;0,C16/C12,0)</f>
        <v/>
      </c>
      <c r="D17" s="22">
        <f>IF(D12&gt;0,D16/D12,0)</f>
        <v/>
      </c>
      <c r="E17" s="22">
        <f>IF(E12&gt;0,E16/E12,0)</f>
        <v/>
      </c>
      <c r="F17" s="11" t="inlineStr"/>
    </row>
    <row r="18" ht="30" customHeight="1">
      <c r="A18" s="14" t="inlineStr">
        <is>
          <t>BREAK-EVEN cloud ASR rate (₹/utterance)</t>
        </is>
      </c>
      <c r="B18" s="25">
        <f>(B6+B8+B9)/B5</f>
        <v/>
      </c>
      <c r="C18" s="26" t="inlineStr">
        <is>
          <t>Above this rate, Tier 1 cannot be profitable on cloud ASR at any volume. This makes the sheet answer the question instead of depending on an unvalidated Sarvam quote.</t>
        </is>
      </c>
    </row>
    <row r="19"/>
    <row r="20">
      <c r="A20" s="14" t="inlineStr">
        <is>
          <t>READ THIS BEFORE THE DECK</t>
        </is>
      </c>
    </row>
    <row r="21">
      <c r="A21" s="15" t="inlineStr">
        <is>
          <t>Compare B and C. On cloud ASR at the assumed rate, a typical-volume Tier 1 shop is thin or negative — the ceiling in CLAUDE.md was right. On-device takes the same shop to near-100% gross margin. THAT is the funding argument: we are not raising to build features, we are raising to move the inference on-device and turn a negative unit into a positive one. If the Sarvam rate in Assumptions is wrong, this entire sheet moves — validate it first.</t>
        </is>
      </c>
    </row>
    <row r="22"/>
    <row r="23"/>
    <row r="24"/>
    <row r="25"/>
  </sheetData>
  <mergeCells count="2">
    <mergeCell ref="C18:F18"/>
    <mergeCell ref="A20:F2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6" customWidth="1" min="2" max="2"/>
    <col width="16" customWidth="1" min="3" max="3"/>
    <col width="16" customWidth="1" min="4" max="4"/>
    <col width="50" customWidth="1" min="5" max="5"/>
  </cols>
  <sheetData>
    <row r="1">
      <c r="A1" s="1" t="inlineStr">
        <is>
          <t>Company build — solo founder, capital-efficient</t>
        </is>
      </c>
    </row>
    <row r="2">
      <c r="A2" s="2" t="inlineStr">
        <is>
          <t>Shop counts are targets, not forecasts. Opex is the funding ask, backed out rather than guessed.</t>
        </is>
      </c>
    </row>
    <row r="4" ht="28" customHeight="1">
      <c r="A4" s="3" t="inlineStr">
        <is>
          <t>Line</t>
        </is>
      </c>
      <c r="B4" s="3" t="inlineStr">
        <is>
          <t>Y1</t>
        </is>
      </c>
      <c r="C4" s="3" t="inlineStr">
        <is>
          <t>Y2</t>
        </is>
      </c>
      <c r="D4" s="3" t="inlineStr">
        <is>
          <t>Y3</t>
        </is>
      </c>
      <c r="E4" s="3" t="inlineStr">
        <is>
          <t>Note</t>
        </is>
      </c>
    </row>
    <row r="5">
      <c r="A5" t="inlineStr">
        <is>
          <t>Tier 1 shops (end of year)</t>
        </is>
      </c>
      <c r="B5" s="23" t="n">
        <v>60</v>
      </c>
      <c r="C5" s="23" t="n">
        <v>600</v>
      </c>
      <c r="D5" s="23" t="n">
        <v>2500</v>
      </c>
      <c r="E5" s="11" t="inlineStr">
        <is>
          <t>[ASSUMPTION - VALIDATE] 60 in Y1 is founder-led reach</t>
        </is>
      </c>
    </row>
    <row r="6">
      <c r="A6" t="inlineStr">
        <is>
          <t>Tier 2 shops</t>
        </is>
      </c>
      <c r="B6" s="23" t="n">
        <v>0</v>
      </c>
      <c r="C6" s="23" t="n">
        <v>25</v>
      </c>
      <c r="D6" s="23" t="n">
        <v>150</v>
      </c>
      <c r="E6" s="11" t="inlineStr">
        <is>
          <t>Only after order mgmt + multi-counter exist</t>
        </is>
      </c>
    </row>
    <row r="7">
      <c r="A7" t="inlineStr">
        <is>
          <t>Tier 3 shops</t>
        </is>
      </c>
      <c r="B7" s="23" t="n">
        <v>0</v>
      </c>
      <c r="C7" s="23" t="n">
        <v>0</v>
      </c>
      <c r="D7" s="23" t="n">
        <v>10</v>
      </c>
      <c r="E7" s="11" t="inlineStr">
        <is>
          <t>No Tier 3 product before Y3</t>
        </is>
      </c>
    </row>
    <row r="8">
      <c r="A8" s="9" t="inlineStr">
        <is>
          <t>Revenue</t>
        </is>
      </c>
      <c r="B8" s="13">
        <f>B5*'1 Assumptions'!$B$29*6</f>
        <v/>
      </c>
      <c r="C8" s="13">
        <f>(B5+C5)/2*'1 Assumptions'!$B$29*12+C6*'1 Assumptions'!$B$30*6</f>
        <v/>
      </c>
      <c r="D8" s="13">
        <f>(C5+D5)/2*'1 Assumptions'!$B$29*12+(C6+D6)/2*'1 Assumptions'!$B$30*12+D7*'1 Assumptions'!$B$31*6</f>
        <v/>
      </c>
      <c r="E8" s="11" t="inlineStr">
        <is>
          <t>Half-year weighting on new cohorts</t>
        </is>
      </c>
    </row>
    <row r="9">
      <c r="A9" s="9" t="inlineStr">
        <is>
          <t>Gross profit</t>
        </is>
      </c>
      <c r="B9" s="13">
        <f>B8*0.55</f>
        <v/>
      </c>
      <c r="C9" s="13">
        <f>C8*0.85</f>
        <v/>
      </c>
      <c r="D9" s="13">
        <f>D8*0.9</f>
        <v/>
      </c>
      <c r="E9" s="11" t="inlineStr">
        <is>
          <t>Margin rises as the port lands — Y1 still cloud ASR</t>
        </is>
      </c>
    </row>
    <row r="10">
      <c r="A10" t="inlineStr">
        <is>
          <t xml:space="preserve">  Engineering (ASR/Android hire)</t>
        </is>
      </c>
      <c r="B10" s="24" t="n">
        <v>1800000</v>
      </c>
      <c r="C10" s="24" t="n">
        <v>3600000</v>
      </c>
      <c r="D10" s="24" t="n">
        <v>5400000</v>
      </c>
      <c r="E10" s="11" t="inlineStr">
        <is>
          <t>1 → 2 → 3 engineers [VALIDATE Chennai comp]</t>
        </is>
      </c>
    </row>
    <row r="11">
      <c r="A11" t="inlineStr">
        <is>
          <t xml:space="preserve">  Field / onboarding</t>
        </is>
      </c>
      <c r="B11" s="24" t="n">
        <v>0</v>
      </c>
      <c r="C11" s="24" t="n">
        <v>900000</v>
      </c>
      <c r="D11" s="24" t="n">
        <v>2400000</v>
      </c>
      <c r="E11" s="11" t="inlineStr">
        <is>
          <t>Founder does Y1</t>
        </is>
      </c>
    </row>
    <row r="12">
      <c r="A12" t="inlineStr">
        <is>
          <t xml:space="preserve">  Founder</t>
        </is>
      </c>
      <c r="B12" s="24" t="n">
        <v>0</v>
      </c>
      <c r="C12" s="24" t="n">
        <v>600000</v>
      </c>
      <c r="D12" s="24" t="n">
        <v>1200000</v>
      </c>
      <c r="E12" s="11" t="inlineStr">
        <is>
          <t>Unpaid Y1 — this is the capital efficiency story</t>
        </is>
      </c>
    </row>
    <row r="13">
      <c r="A13" t="inlineStr">
        <is>
          <t xml:space="preserve">  Infra, tools, travel</t>
        </is>
      </c>
      <c r="B13" s="24" t="n">
        <v>250000</v>
      </c>
      <c r="C13" s="24" t="n">
        <v>600000</v>
      </c>
      <c r="D13" s="24" t="n">
        <v>1200000</v>
      </c>
      <c r="E13" s="11" t="inlineStr"/>
    </row>
    <row r="14">
      <c r="A14" s="9" t="inlineStr">
        <is>
          <t>Total opex</t>
        </is>
      </c>
      <c r="B14" s="13">
        <f>SUM(B10:B13)</f>
        <v/>
      </c>
      <c r="C14" s="13">
        <f>SUM(C10:C13)</f>
        <v/>
      </c>
      <c r="D14" s="13">
        <f>SUM(D10:D13)</f>
        <v/>
      </c>
      <c r="E14" s="11" t="inlineStr"/>
    </row>
    <row r="15">
      <c r="A15" s="9" t="inlineStr">
        <is>
          <t>EBITDA</t>
        </is>
      </c>
      <c r="B15" s="13">
        <f>B9-B14</f>
        <v/>
      </c>
      <c r="C15" s="13">
        <f>C9-C14</f>
        <v/>
      </c>
      <c r="D15" s="13">
        <f>D9-D14</f>
        <v/>
      </c>
      <c r="E15" s="11" t="inlineStr"/>
    </row>
    <row r="16">
      <c r="A16" s="9" t="inlineStr">
        <is>
          <t>Cumulative cash need</t>
        </is>
      </c>
      <c r="B16" s="13">
        <f>-B15</f>
        <v/>
      </c>
      <c r="C16" s="13">
        <f>-B15-C15</f>
        <v/>
      </c>
      <c r="D16" s="13">
        <f>-B15-C15-D15</f>
        <v/>
      </c>
      <c r="E16" s="11" t="inlineStr">
        <is>
          <t>→ the funding ask, backed out of the plan</t>
        </is>
      </c>
    </row>
    <row r="18">
      <c r="A18" s="4" t="inlineStr">
        <is>
          <t>FUNDING ASK</t>
        </is>
      </c>
    </row>
    <row r="19">
      <c r="A19" s="9">
        <f>"Ask ≈ ₹"&amp;TEXT(ROUNDUP((-B15-C15)/100000,0)*100000,"#,##0")&amp;"  (covers Y1+Y2 with headroom; Y3 assumes revenue or a second round)"</f>
        <v/>
      </c>
    </row>
  </sheetData>
  <mergeCells count="1">
    <mergeCell ref="A19:E1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26" customWidth="1" min="1" max="1"/>
    <col width="14" customWidth="1" min="2" max="2"/>
    <col width="14" customWidth="1" min="3" max="3"/>
    <col width="20" customWidth="1" min="4" max="4"/>
    <col width="62" customWidth="1" min="5" max="5"/>
  </cols>
  <sheetData>
    <row r="1">
      <c r="A1" s="1" t="inlineStr">
        <is>
          <t>The three that swing it — expect these questions first</t>
        </is>
      </c>
    </row>
    <row r="2">
      <c r="A2" s="2" t="inlineStr">
        <is>
          <t>Change the amber cell in Assumptions and watch sheet 3 move.</t>
        </is>
      </c>
    </row>
    <row r="4" ht="28" customHeight="1">
      <c r="A4" s="3" t="inlineStr">
        <is>
          <t>Variable</t>
        </is>
      </c>
      <c r="B4" s="3" t="inlineStr">
        <is>
          <t>Assumed</t>
        </is>
      </c>
      <c r="C4" s="3" t="inlineStr">
        <is>
          <t>If 2× worse</t>
        </is>
      </c>
      <c r="D4" s="3" t="inlineStr">
        <is>
          <t>Effect</t>
        </is>
      </c>
      <c r="E4" s="3" t="inlineStr">
        <is>
          <t>Why it is the first question</t>
        </is>
      </c>
    </row>
    <row r="5" ht="34" customHeight="1">
      <c r="A5" s="9" t="inlineStr">
        <is>
          <t>Cloud ASR ₹/utterance</t>
        </is>
      </c>
      <c r="B5" s="10">
        <f>'1 Assumptions'!$B$21</f>
        <v/>
      </c>
      <c r="C5" s="7">
        <f>'1 Assumptions'!$B$21*2</f>
        <v/>
      </c>
      <c r="D5" t="inlineStr">
        <is>
          <t>Tier 1 gross profit inverts</t>
        </is>
      </c>
      <c r="E5" s="11" t="inlineStr">
        <is>
          <t>Unvalidated, and the single largest cost line before the port. Get the real Sarvam rate.</t>
        </is>
      </c>
    </row>
    <row r="6" ht="34" customHeight="1">
      <c r="A6" s="9" t="inlineStr">
        <is>
          <t>Utterances per bill</t>
        </is>
      </c>
      <c r="B6" s="10">
        <f>'1 Assumptions'!$B$17</f>
        <v/>
      </c>
      <c r="C6" s="7">
        <f>'1 Assumptions'!$B$17*2</f>
        <v/>
      </c>
      <c r="D6" t="inlineStr">
        <is>
          <t>ASR cost doubles</t>
        </is>
      </c>
      <c r="E6" s="11" t="inlineStr">
        <is>
          <t>Corrections and retries count. Measurable from the utterance log we already keep.</t>
        </is>
      </c>
    </row>
    <row r="7" ht="34" customHeight="1">
      <c r="A7" s="9" t="inlineStr">
        <is>
          <t>Monthly churn T1</t>
        </is>
      </c>
      <c r="B7" s="10">
        <f>'1 Assumptions'!$B$39</f>
        <v/>
      </c>
      <c r="C7" s="7">
        <f>'1 Assumptions'!$B$39*2</f>
        <v/>
      </c>
      <c r="D7" t="inlineStr">
        <is>
          <t>LTV halves</t>
        </is>
      </c>
      <c r="E7" s="11" t="inlineStr">
        <is>
          <t>One week at one shop tells us nothing about retention. This is the weakest number in the model.</t>
        </is>
      </c>
    </row>
    <row r="8" ht="34" customHeight="1">
      <c r="A8" s="9" t="inlineStr">
        <is>
          <t>Time saved per bill</t>
        </is>
      </c>
      <c r="B8" s="10">
        <f>'1 Assumptions'!$B$42</f>
        <v/>
      </c>
      <c r="C8" s="7">
        <f>'1 Assumptions'!$B$42/2</f>
        <v/>
      </c>
      <c r="D8" t="inlineStr">
        <is>
          <t>Retailer payback lengthens</t>
        </is>
      </c>
      <c r="E8" s="11" t="inlineStr">
        <is>
          <t>Never measured. Instrument billing-duration before claiming it in a sales conversation.</t>
        </is>
      </c>
    </row>
    <row r="9" ht="34" customHeight="1">
      <c r="A9" s="9" t="inlineStr">
        <is>
          <t>Tier 1 price</t>
        </is>
      </c>
      <c r="B9" s="10">
        <f>'1 Assumptions'!$B$29</f>
        <v/>
      </c>
      <c r="C9" s="7">
        <f>599</f>
        <v/>
      </c>
      <c r="D9" t="inlineStr">
        <is>
          <t>Margin and adoption both move</t>
        </is>
      </c>
      <c r="E9" s="11" t="inlineStr">
        <is>
          <t>₹583/mo is what Ragas already pays WeP. That is the ceiling that matters, not Vyapar's free tier.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2026-08-06T06:19:49Z</dcterms:created>
  <dcterms:modified xsi:type="dcterms:W3CDTF">2026-08-06T06:21:19Z</dcterms:modified>
</cp:coreProperties>
</file>